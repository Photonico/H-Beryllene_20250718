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on2505/Documents/Luke/"/>
    </mc:Choice>
  </mc:AlternateContent>
  <xr:revisionPtr revIDLastSave="0" documentId="13_ncr:1_{A7D71F4D-D505-B24C-82A4-77FC5F2EFEAD}" xr6:coauthVersionLast="47" xr6:coauthVersionMax="47" xr10:uidLastSave="{00000000-0000-0000-0000-000000000000}"/>
  <bookViews>
    <workbookView xWindow="4300" yWindow="760" windowWidth="25940" windowHeight="15880" xr2:uid="{3F42C867-9BF2-4B43-BA8B-8E79B45DD18A}"/>
  </bookViews>
  <sheets>
    <sheet name="2H-Beryllene" sheetId="1" r:id="rId1"/>
    <sheet name="1H-Berylle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/>
  <c r="B11" i="2"/>
  <c r="B7" i="2"/>
  <c r="B13" i="2" s="1"/>
  <c r="B6" i="2"/>
  <c r="B12" i="2" s="1"/>
  <c r="B7" i="1"/>
  <c r="B13" i="1" s="1"/>
  <c r="B6" i="1"/>
  <c r="B12" i="1" s="1"/>
  <c r="B5" i="1"/>
  <c r="B8" i="1" s="1"/>
  <c r="B9" i="1" s="1"/>
  <c r="B8" i="2" l="1"/>
  <c r="B9" i="2" s="1"/>
  <c r="B16" i="2"/>
  <c r="B18" i="2" s="1"/>
  <c r="B11" i="1"/>
  <c r="B16" i="1" s="1"/>
  <c r="B18" i="1" s="1"/>
  <c r="B15" i="2" l="1"/>
  <c r="B17" i="2" s="1"/>
  <c r="B15" i="1"/>
  <c r="B17" i="1" s="1"/>
</calcChain>
</file>

<file path=xl/sharedStrings.xml><?xml version="1.0" encoding="utf-8"?>
<sst xmlns="http://schemas.openxmlformats.org/spreadsheetml/2006/main" count="28" uniqueCount="14">
  <si>
    <t>A</t>
  </si>
  <si>
    <t>B</t>
  </si>
  <si>
    <t>A.B</t>
  </si>
  <si>
    <t>|A|</t>
  </si>
  <si>
    <t>|B|</t>
  </si>
  <si>
    <t>cos(theta)</t>
  </si>
  <si>
    <t>theta</t>
  </si>
  <si>
    <t>Alpha</t>
  </si>
  <si>
    <t>Beta</t>
  </si>
  <si>
    <t>|B|2 (G22)</t>
  </si>
  <si>
    <t>|A|2 (G11)</t>
  </si>
  <si>
    <t>A.B (G12)</t>
  </si>
  <si>
    <t>1-Alpha</t>
  </si>
  <si>
    <t>1-Beta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</si>
</sst>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6CDE-3800-8547-843C-59AA6F6D9D36}">
  <dimension ref="A3:C18"/>
  <sheetViews>
    <sheetView tabSelected="1" workbookViewId="0">
      <selection activeCell="B18" sqref="B18"/>
    </sheetView>
  </sheetViews>
  <sheetFormatPr baseColWidth="10" defaultRowHeight="16" x14ac:dyDescent="0.2"/>
  <sheetData>
    <row r="3" spans="1:3" x14ac:dyDescent="0.2">
      <c r="A3" t="s">
        <v>0</v>
      </c>
      <c r="B3">
        <v>0.212789175</v>
      </c>
      <c r="C3">
        <v>0.47924794500000001</v>
      </c>
    </row>
    <row r="4" spans="1:3" x14ac:dyDescent="0.2">
      <c r="A4" t="s">
        <v>1</v>
      </c>
      <c r="B4">
        <v>-0.20764792100000001</v>
      </c>
      <c r="C4">
        <v>0.48139756299999997</v>
      </c>
    </row>
    <row r="5" spans="1:3" x14ac:dyDescent="0.2">
      <c r="A5" t="s">
        <v>2</v>
      </c>
      <c r="B5">
        <f>B3*B4+C3*C4</f>
        <v>0.18652356299570286</v>
      </c>
    </row>
    <row r="6" spans="1:3" x14ac:dyDescent="0.2">
      <c r="A6" t="s">
        <v>3</v>
      </c>
      <c r="B6">
        <f>SQRT(POWER(B3,2)+POWER(C3,2))</f>
        <v>0.52436421100596065</v>
      </c>
    </row>
    <row r="7" spans="1:3" x14ac:dyDescent="0.2">
      <c r="A7" t="s">
        <v>4</v>
      </c>
      <c r="B7">
        <f>SQRT(POWER(B4,2)+POWER(C4,2))</f>
        <v>0.52427213616399759</v>
      </c>
    </row>
    <row r="8" spans="1:3" x14ac:dyDescent="0.2">
      <c r="A8" t="s">
        <v>5</v>
      </c>
      <c r="B8">
        <f>B5/(B6*B7)</f>
        <v>0.6784906758110606</v>
      </c>
    </row>
    <row r="9" spans="1:3" x14ac:dyDescent="0.2">
      <c r="A9" t="s">
        <v>6</v>
      </c>
      <c r="B9">
        <f>DEGREES(ACOS(B8))</f>
        <v>47.274188583165824</v>
      </c>
    </row>
    <row r="11" spans="1:3" x14ac:dyDescent="0.2">
      <c r="A11" t="s">
        <v>11</v>
      </c>
      <c r="B11">
        <f>B5</f>
        <v>0.18652356299570286</v>
      </c>
    </row>
    <row r="12" spans="1:3" x14ac:dyDescent="0.2">
      <c r="A12" t="s">
        <v>10</v>
      </c>
      <c r="B12">
        <f>POWER(B6,2)</f>
        <v>0.2749578257839036</v>
      </c>
    </row>
    <row r="13" spans="1:3" x14ac:dyDescent="0.2">
      <c r="A13" t="s">
        <v>9</v>
      </c>
      <c r="B13">
        <f>POWER(B7,2)</f>
        <v>0.27486127275796124</v>
      </c>
    </row>
    <row r="15" spans="1:3" x14ac:dyDescent="0.2">
      <c r="A15" t="s">
        <v>7</v>
      </c>
      <c r="B15">
        <f>(B13*(B12-B11))/(2*(B12*B13-POWER(B11,2)))</f>
        <v>0.29799705597762727</v>
      </c>
    </row>
    <row r="16" spans="1:3" x14ac:dyDescent="0.2">
      <c r="A16" t="s">
        <v>8</v>
      </c>
      <c r="B16">
        <f>(B12*(B13-B11))/(2*(B12*B13-POWER(B11,2)))</f>
        <v>0.29777626696750786</v>
      </c>
    </row>
    <row r="17" spans="1:2" x14ac:dyDescent="0.2">
      <c r="A17" t="s">
        <v>12</v>
      </c>
      <c r="B17">
        <f>1-B15</f>
        <v>0.70200294402237273</v>
      </c>
    </row>
    <row r="18" spans="1:2" x14ac:dyDescent="0.2">
      <c r="A18" t="s">
        <v>13</v>
      </c>
      <c r="B18">
        <f>1-B16</f>
        <v>0.70222373303249208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15C1-DEA0-DA4D-BF22-F53087F9B154}">
  <dimension ref="A3:C18"/>
  <sheetViews>
    <sheetView workbookViewId="0">
      <selection activeCell="B15" sqref="B15"/>
    </sheetView>
  </sheetViews>
  <sheetFormatPr baseColWidth="10" defaultRowHeight="16" x14ac:dyDescent="0.2"/>
  <sheetData>
    <row r="3" spans="1:3" x14ac:dyDescent="0.2">
      <c r="A3" t="s">
        <v>0</v>
      </c>
      <c r="B3">
        <v>0.24141944300000001</v>
      </c>
      <c r="C3">
        <v>0.418642177</v>
      </c>
    </row>
    <row r="4" spans="1:3" x14ac:dyDescent="0.2">
      <c r="A4" t="s">
        <v>1</v>
      </c>
      <c r="B4">
        <v>-0.29026495800000002</v>
      </c>
      <c r="C4">
        <v>0.44628000200000001</v>
      </c>
    </row>
    <row r="5" spans="1:3" x14ac:dyDescent="0.2">
      <c r="A5" t="s">
        <v>2</v>
      </c>
      <c r="B5">
        <f>B3*B4+C3*C4</f>
        <v>0.11675602710606596</v>
      </c>
    </row>
    <row r="6" spans="1:3" x14ac:dyDescent="0.2">
      <c r="A6" t="s">
        <v>3</v>
      </c>
      <c r="B6">
        <f>SQRT(POWER(B3,2)+POWER(C3,2))</f>
        <v>0.48326454434577504</v>
      </c>
    </row>
    <row r="7" spans="1:3" x14ac:dyDescent="0.2">
      <c r="A7" t="s">
        <v>4</v>
      </c>
      <c r="B7">
        <f>SQRT(POWER(B4,2)+POWER(C4,2))</f>
        <v>0.5323716615559676</v>
      </c>
    </row>
    <row r="8" spans="1:3" x14ac:dyDescent="0.2">
      <c r="A8" t="s">
        <v>5</v>
      </c>
      <c r="B8">
        <f>B5/(B6*B7)</f>
        <v>0.45381562592908298</v>
      </c>
    </row>
    <row r="9" spans="1:3" x14ac:dyDescent="0.2">
      <c r="A9" t="s">
        <v>6</v>
      </c>
      <c r="B9">
        <f>DEGREES(ACOS(B8))</f>
        <v>63.011244620708737</v>
      </c>
    </row>
    <row r="11" spans="1:3" x14ac:dyDescent="0.2">
      <c r="A11" t="s">
        <v>11</v>
      </c>
      <c r="B11">
        <f>B5</f>
        <v>0.11675602710606596</v>
      </c>
    </row>
    <row r="12" spans="1:3" x14ac:dyDescent="0.2">
      <c r="A12" t="s">
        <v>10</v>
      </c>
      <c r="B12">
        <f>POWER(B6,2)</f>
        <v>0.23354461982172955</v>
      </c>
    </row>
    <row r="13" spans="1:3" x14ac:dyDescent="0.2">
      <c r="A13" t="s">
        <v>9</v>
      </c>
      <c r="B13">
        <f>POWER(B7,2)</f>
        <v>0.28341958602786171</v>
      </c>
    </row>
    <row r="15" spans="1:3" x14ac:dyDescent="0.2">
      <c r="A15" t="s">
        <v>7</v>
      </c>
      <c r="B15">
        <f>(B13*(B12-B11))/(2*(B12*B13-POWER(B11,2)))</f>
        <v>0.31488499005472187</v>
      </c>
    </row>
    <row r="16" spans="1:3" x14ac:dyDescent="0.2">
      <c r="A16" t="s">
        <v>8</v>
      </c>
      <c r="B16">
        <f>(B12*(B13-B11))/(2*(B12*B13-POWER(B11,2)))</f>
        <v>0.37028165219848913</v>
      </c>
    </row>
    <row r="17" spans="1:2" x14ac:dyDescent="0.2">
      <c r="A17" t="s">
        <v>12</v>
      </c>
      <c r="B17">
        <f>1-B15</f>
        <v>0.68511500994527808</v>
      </c>
    </row>
    <row r="18" spans="1:2" x14ac:dyDescent="0.2">
      <c r="A18" t="s">
        <v>13</v>
      </c>
      <c r="B18">
        <f>1-B16</f>
        <v>0.62971834780151092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2H-Beryllene</vt:lpstr>
      <vt:lpstr>1H-Beryllene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Conquest</dc:creator>
  <cp:lastModifiedBy>Oliver Conquest</cp:lastModifiedBy>
  <dcterms:created xsi:type="dcterms:W3CDTF">2026-04-29T03:35:26Z</dcterms:created>
  <dcterms:modified xsi:type="dcterms:W3CDTF">2026-05-12T04:26:02Z</dcterms:modified>
</cp:coreProperties>
</file>